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dor\Desktop\projetos\investimento\"/>
    </mc:Choice>
  </mc:AlternateContent>
  <xr:revisionPtr revIDLastSave="0" documentId="13_ncr:1_{50987D31-7E93-4C34-B1D5-7FC089BBE8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IMULADOR" sheetId="1" r:id="rId1"/>
    <sheet name="APOIO" sheetId="2" r:id="rId2"/>
  </sheets>
  <definedNames>
    <definedName name="aporte_informado">SIMULADOR!$C$11</definedName>
    <definedName name="aporte_usado">SIMULADOR!$C$13</definedName>
    <definedName name="base_aporte">SIMULADOR!$C$12</definedName>
    <definedName name="dividendo_mensal">SIMULADOR!$F$11</definedName>
    <definedName name="lista_base">APOIO!$M$5:$M$6</definedName>
    <definedName name="lista_perfis">APOIO!$I$5:$I$7</definedName>
    <definedName name="patrimonio">SIMULADOR!$F$8</definedName>
    <definedName name="pct_salario">SIMULADOR!$C$9</definedName>
    <definedName name="perfil_escolhido">SIMULADOR!$C$33</definedName>
    <definedName name="qtd_anos">SIMULADOR!$C$14</definedName>
    <definedName name="rendimento_acumulado">SIMULADOR!$F$10</definedName>
    <definedName name="salario">SIMULADOR!$C$8</definedName>
    <definedName name="sugestao_aporte">SIMULADOR!$C$10</definedName>
    <definedName name="tabela_perfis">APOIO!$A$5:$D$22</definedName>
    <definedName name="taxa_mensal">SIMULADOR!$C$15</definedName>
    <definedName name="total_aportado">SIMULADOR!$F$9</definedName>
    <definedName name="yield_mensal">SIMULADOR!$C$16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2" i="2" l="1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J7" i="2"/>
  <c r="K7" i="2" s="1"/>
  <c r="A7" i="2"/>
  <c r="J6" i="2"/>
  <c r="K6" i="2" s="1"/>
  <c r="A6" i="2"/>
  <c r="J5" i="2"/>
  <c r="K5" i="2" s="1"/>
  <c r="A5" i="2"/>
  <c r="C37" i="1" s="1"/>
  <c r="C38" i="1"/>
  <c r="C28" i="1"/>
  <c r="C29" i="1" s="1"/>
  <c r="C30" i="1" s="1"/>
  <c r="C10" i="1"/>
  <c r="E28" i="1" s="1"/>
  <c r="F28" i="1" s="1"/>
  <c r="C13" i="1" l="1"/>
  <c r="F9" i="1" s="1"/>
  <c r="E29" i="1"/>
  <c r="C40" i="1"/>
  <c r="C42" i="1"/>
  <c r="C39" i="1"/>
  <c r="C41" i="1"/>
  <c r="C24" i="1" l="1"/>
  <c r="F24" i="1" s="1"/>
  <c r="F8" i="1"/>
  <c r="F11" i="1" s="1"/>
  <c r="F12" i="1" s="1"/>
  <c r="E20" i="1"/>
  <c r="E41" i="1"/>
  <c r="E39" i="1"/>
  <c r="C22" i="1"/>
  <c r="F22" i="1" s="1"/>
  <c r="E22" i="1"/>
  <c r="E38" i="1"/>
  <c r="C20" i="1"/>
  <c r="F20" i="1" s="1"/>
  <c r="E42" i="1"/>
  <c r="E40" i="1"/>
  <c r="E37" i="1"/>
  <c r="E43" i="1" s="1"/>
  <c r="C23" i="1"/>
  <c r="F23" i="1" s="1"/>
  <c r="E21" i="1"/>
  <c r="C21" i="1"/>
  <c r="F21" i="1" s="1"/>
  <c r="C34" i="1"/>
  <c r="E24" i="1"/>
  <c r="E23" i="1"/>
  <c r="E30" i="1"/>
  <c r="F30" i="1" s="1"/>
  <c r="F29" i="1"/>
  <c r="C43" i="1"/>
  <c r="F43" i="1" s="1"/>
  <c r="F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000-000004000000}">
      <text>
        <r>
          <rPr>
            <sz val="10"/>
            <rFont val="Arial"/>
            <family val="2"/>
          </rPr>
          <t>Escolha na lista: usar o aporte informado ou a sugestão calculada do salário.</t>
        </r>
      </text>
    </comment>
    <comment ref="C15" authorId="0" shapeId="0" xr:uid="{00000000-0006-0000-0000-000005000000}">
      <text>
        <r>
          <rPr>
            <sz val="10"/>
            <rFont val="Arial"/>
            <family val="2"/>
          </rPr>
          <t>Retorno mensal total da carteira (cotas + dividendos reinvestidos). Premissa de exemplo, não é promessa de rentabilidade.</t>
        </r>
      </text>
    </comment>
    <comment ref="C16" authorId="0" shapeId="0" xr:uid="{00000000-0006-0000-0000-000006000000}">
      <text>
        <r>
          <rPr>
            <sz val="10"/>
            <rFont val="Arial"/>
            <family val="2"/>
          </rPr>
          <t>Fração do patrimônio paga como dividendo a cada mês. Premissa de exemplo.</t>
        </r>
      </text>
    </comment>
  </commentList>
</comments>
</file>

<file path=xl/sharedStrings.xml><?xml version="1.0" encoding="utf-8"?>
<sst xmlns="http://schemas.openxmlformats.org/spreadsheetml/2006/main" count="110" uniqueCount="57">
  <si>
    <t>RENDA NA PRÁTICA  |  Simulador de Fundos Imobiliários</t>
  </si>
  <si>
    <t>Do aporte de cada mês ao dividendo que ele rende</t>
  </si>
  <si>
    <t>1 · PARÂMETROS</t>
  </si>
  <si>
    <t>2 · RESPOSTAS</t>
  </si>
  <si>
    <t>Salário mensal</t>
  </si>
  <si>
    <t>Patrimônio acumulado</t>
  </si>
  <si>
    <t>% do salário sugerido p/ investir</t>
  </si>
  <si>
    <t>Total aportado</t>
  </si>
  <si>
    <t>Sugestão de aporte</t>
  </si>
  <si>
    <t>Rendimento acumulado</t>
  </si>
  <si>
    <t>Aporte informado</t>
  </si>
  <si>
    <t>Dividendos por mês</t>
  </si>
  <si>
    <t>Base usada na simulação</t>
  </si>
  <si>
    <t>Dividendo ÷ salário</t>
  </si>
  <si>
    <t>Aporte mensal usado</t>
  </si>
  <si>
    <t>Prazo (anos)</t>
  </si>
  <si>
    <t>Taxa de rendimento mensal</t>
  </si>
  <si>
    <t>Dividend yield mensal</t>
  </si>
  <si>
    <t>3 · PROJEÇÃO POR PRAZO</t>
  </si>
  <si>
    <t>Prazo</t>
  </si>
  <si>
    <t>Patrimônio</t>
  </si>
  <si>
    <t>4 · COMPARATIVO: APORTE INFORMADO × SUGESTÃO DO SALÁRIO</t>
  </si>
  <si>
    <t>No prazo escolhido</t>
  </si>
  <si>
    <t>Sugestão do salário</t>
  </si>
  <si>
    <t>Diferença</t>
  </si>
  <si>
    <t>Aporte mensal</t>
  </si>
  <si>
    <t>5 · DIVISÃO DO APORTE POR PERFIL</t>
  </si>
  <si>
    <t>Perfil do investidor</t>
  </si>
  <si>
    <t>Moderado</t>
  </si>
  <si>
    <t>Aporte mensal a dividir</t>
  </si>
  <si>
    <t>Tipo de FII</t>
  </si>
  <si>
    <t>% do aporte</t>
  </si>
  <si>
    <t>Valor por mês</t>
  </si>
  <si>
    <t>PAPEL</t>
  </si>
  <si>
    <t>TIJOLO</t>
  </si>
  <si>
    <t>HÍBRIDOS</t>
  </si>
  <si>
    <t>FOFs</t>
  </si>
  <si>
    <t>DESENVOLVIMENTO</t>
  </si>
  <si>
    <t>HOTELARIAS</t>
  </si>
  <si>
    <t>TOTAL</t>
  </si>
  <si>
    <t>APOIO · tabelas que alimentam o simulador</t>
  </si>
  <si>
    <t>CHAVE</t>
  </si>
  <si>
    <t>PERFIL</t>
  </si>
  <si>
    <t>TIPO DE FII</t>
  </si>
  <si>
    <t>%</t>
  </si>
  <si>
    <t>O QUE É</t>
  </si>
  <si>
    <t>SOMA</t>
  </si>
  <si>
    <t>STATUS</t>
  </si>
  <si>
    <t>BASE DO APORTE</t>
  </si>
  <si>
    <t>Conservador</t>
  </si>
  <si>
    <t>Investe em títulos de crédito imobiliário (CRIs, LCIs); renda costuma acompanhar juros e inflação.</t>
  </si>
  <si>
    <t>Investe em imóveis físicos (lajes, galpões logísticos, shoppings); renda vem principalmente de aluguéis.</t>
  </si>
  <si>
    <t>Mistura imóveis físicos e títulos de crédito na mesma carteira.</t>
  </si>
  <si>
    <t>Arrojado</t>
  </si>
  <si>
    <t>Fundos de fundos: compram cotas de outros FIIs e diversificam em uma só cota.</t>
  </si>
  <si>
    <t>Constroem ou desenvolvem empreendimentos; ganho vem da valorização na venda, com risco maior.</t>
  </si>
  <si>
    <t>Detêm hotéis e resorts; renda ligada ao aluguel ou ao desempenho da operadora.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</si>
</sst>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"/>
    <numFmt numFmtId="165" formatCode="0.0%"/>
    <numFmt numFmtId="166" formatCode="0&quot; anos&quot;"/>
    <numFmt numFmtId="167" formatCode="&quot;R$ &quot;#,##0.00;[Red]&quot;-R$ &quot;#,##0.00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D9B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  <font>
      <b/>
      <sz val="10"/>
      <color rgb="FF0B2545"/>
      <name val="Arial"/>
      <charset val="1"/>
    </font>
    <font>
      <i/>
      <sz val="8"/>
      <color rgb="FF595959"/>
      <name val="Arial"/>
      <charset val="1"/>
    </font>
    <font>
      <sz val="10"/>
      <name val="Arial"/>
      <family val="2"/>
    </font>
    <font>
      <b/>
      <sz val="14"/>
      <color rgb="FF0B2545"/>
      <name val="Arial"/>
      <charset val="1"/>
    </font>
    <font>
      <sz val="10"/>
      <color rgb="FF0000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B2545"/>
        <bgColor rgb="FF003300"/>
      </patternFill>
    </fill>
    <fill>
      <patternFill patternType="solid">
        <fgColor rgb="FFE07A1F"/>
        <bgColor rgb="FFF79646"/>
      </patternFill>
    </fill>
    <fill>
      <patternFill patternType="solid">
        <fgColor rgb="FF13678A"/>
        <bgColor rgb="FF008080"/>
      </patternFill>
    </fill>
    <fill>
      <patternFill patternType="solid">
        <fgColor rgb="FFFFF8E6"/>
        <bgColor rgb="FFFFFFFF"/>
      </patternFill>
    </fill>
    <fill>
      <patternFill patternType="solid">
        <fgColor rgb="FFEDEDED"/>
        <bgColor rgb="FFE6F1F5"/>
      </patternFill>
    </fill>
    <fill>
      <patternFill patternType="solid">
        <fgColor rgb="FFE6F1F5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 wrapText="1" indent="1"/>
    </xf>
    <xf numFmtId="0" fontId="3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2" borderId="0" xfId="0" applyFont="1" applyFill="1" applyAlignment="1">
      <alignment vertical="center" indent="1"/>
    </xf>
    <xf numFmtId="0" fontId="1" fillId="2" borderId="0" xfId="0" applyFont="1" applyFill="1" applyAlignment="1">
      <alignment vertical="center" indent="1"/>
    </xf>
    <xf numFmtId="0" fontId="0" fillId="3" borderId="0" xfId="0" applyFill="1"/>
    <xf numFmtId="0" fontId="4" fillId="0" borderId="0" xfId="0" applyFont="1" applyAlignment="1">
      <alignment vertical="center" indent="1"/>
    </xf>
    <xf numFmtId="164" fontId="5" fillId="5" borderId="1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9" fontId="5" fillId="5" borderId="1" xfId="0" applyNumberFormat="1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165" fontId="4" fillId="6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10" fontId="5" fillId="5" borderId="1" xfId="0" applyNumberFormat="1" applyFont="1" applyFill="1" applyBorder="1" applyAlignment="1">
      <alignment horizontal="right"/>
    </xf>
    <xf numFmtId="0" fontId="8" fillId="7" borderId="0" xfId="0" applyFont="1" applyFill="1" applyAlignment="1">
      <alignment horizontal="left" indent="1"/>
    </xf>
    <xf numFmtId="0" fontId="8" fillId="7" borderId="0" xfId="0" applyFont="1" applyFill="1" applyAlignment="1">
      <alignment horizontal="right"/>
    </xf>
    <xf numFmtId="0" fontId="0" fillId="7" borderId="0" xfId="0" applyFill="1"/>
    <xf numFmtId="166" fontId="5" fillId="5" borderId="1" xfId="0" applyNumberFormat="1" applyFont="1" applyFill="1" applyBorder="1" applyAlignment="1">
      <alignment horizontal="left" indent="1"/>
    </xf>
    <xf numFmtId="0" fontId="0" fillId="6" borderId="0" xfId="0" applyFill="1"/>
    <xf numFmtId="167" fontId="4" fillId="6" borderId="1" xfId="0" applyNumberFormat="1" applyFont="1" applyFill="1" applyBorder="1" applyAlignment="1">
      <alignment horizontal="right"/>
    </xf>
    <xf numFmtId="9" fontId="4" fillId="6" borderId="1" xfId="0" applyNumberFormat="1" applyFont="1" applyFill="1" applyBorder="1" applyAlignment="1">
      <alignment horizontal="right"/>
    </xf>
    <xf numFmtId="0" fontId="6" fillId="0" borderId="0" xfId="0" applyFont="1" applyAlignment="1">
      <alignment indent="1"/>
    </xf>
    <xf numFmtId="9" fontId="6" fillId="6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/>
    </xf>
    <xf numFmtId="0" fontId="11" fillId="0" borderId="0" xfId="0" applyFont="1"/>
    <xf numFmtId="0" fontId="7" fillId="0" borderId="0" xfId="0" applyFont="1"/>
    <xf numFmtId="0" fontId="3" fillId="4" borderId="0" xfId="0" applyFont="1" applyFill="1" applyAlignment="1">
      <alignment horizontal="center"/>
    </xf>
    <xf numFmtId="0" fontId="4" fillId="6" borderId="1" xfId="0" applyFont="1" applyFill="1" applyBorder="1"/>
    <xf numFmtId="0" fontId="4" fillId="0" borderId="1" xfId="0" applyFont="1" applyBorder="1"/>
    <xf numFmtId="9" fontId="12" fillId="0" borderId="1" xfId="0" applyNumberFormat="1" applyFont="1" applyBorder="1"/>
    <xf numFmtId="0" fontId="6" fillId="0" borderId="1" xfId="0" applyFont="1" applyBorder="1"/>
    <xf numFmtId="9" fontId="4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3678A"/>
      <rgbColor rgb="FFBFBFBF"/>
      <rgbColor rgb="FF4F81BD"/>
      <rgbColor rgb="FF9999FF"/>
      <rgbColor rgb="FFC0504D"/>
      <rgbColor rgb="FFFFF8E6"/>
      <rgbColor rgb="FFE6F1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D9B0"/>
      <rgbColor rgb="FF3366FF"/>
      <rgbColor rgb="FF4BACC6"/>
      <rgbColor rgb="FF9BBB59"/>
      <rgbColor rgb="FFFFCC00"/>
      <rgbColor rgb="FFF79646"/>
      <rgbColor rgb="FFE07A1F"/>
      <rgbColor rgb="FF8064A2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Divisão do aporte por tipo de FII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SIMULADOR!$C$36</c:f>
              <c:strCache>
                <c:ptCount val="1"/>
                <c:pt idx="0">
                  <c:v>% do aporte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D28-486D-8B95-A4CE394BF10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D28-486D-8B95-A4CE394BF10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D28-486D-8B95-A4CE394BF10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D28-486D-8B95-A4CE394BF10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D28-486D-8B95-A4CE394BF10A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D28-486D-8B95-A4CE394BF10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D28-486D-8B95-A4CE394BF10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D28-486D-8B95-A4CE394BF10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D28-486D-8B95-A4CE394BF10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D28-486D-8B95-A4CE394BF10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D28-486D-8B95-A4CE394BF10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8D28-486D-8B95-A4CE394BF1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SIMULADOR!$B$37:$B$42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SIMULADOR!$C$37:$C$42</c:f>
              <c:numCache>
                <c:formatCode>0%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D28-486D-8B95-A4CE394BF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31</xdr:row>
      <xdr:rowOff>0</xdr:rowOff>
    </xdr:from>
    <xdr:to>
      <xdr:col>14</xdr:col>
      <xdr:colOff>219240</xdr:colOff>
      <xdr:row>46</xdr:row>
      <xdr:rowOff>87840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45"/>
  <sheetViews>
    <sheetView showGridLines="0" tabSelected="1" topLeftCell="A7" zoomScaleNormal="100" workbookViewId="0">
      <selection activeCell="C15" sqref="C15"/>
    </sheetView>
  </sheetViews>
  <sheetFormatPr defaultColWidth="8.6640625" defaultRowHeight="14.4" x14ac:dyDescent="0.3"/>
  <cols>
    <col min="1" max="1" width="2" customWidth="1"/>
    <col min="2" max="2" width="34" customWidth="1"/>
    <col min="3" max="3" width="19" customWidth="1"/>
    <col min="4" max="4" width="3" customWidth="1"/>
    <col min="5" max="5" width="24" customWidth="1"/>
    <col min="6" max="6" width="22" customWidth="1"/>
    <col min="7" max="7" width="3" customWidth="1"/>
  </cols>
  <sheetData>
    <row r="2" spans="2:6" ht="18" customHeight="1" x14ac:dyDescent="0.3">
      <c r="B2" s="6" t="s">
        <v>0</v>
      </c>
      <c r="C2" s="6"/>
      <c r="D2" s="6"/>
      <c r="E2" s="6"/>
      <c r="F2" s="6"/>
    </row>
    <row r="3" spans="2:6" ht="18" customHeight="1" x14ac:dyDescent="0.3">
      <c r="B3" s="6"/>
      <c r="C3" s="6"/>
      <c r="D3" s="6"/>
      <c r="E3" s="6"/>
      <c r="F3" s="6"/>
    </row>
    <row r="4" spans="2:6" ht="18" customHeight="1" x14ac:dyDescent="0.3">
      <c r="B4" s="5" t="s">
        <v>1</v>
      </c>
      <c r="C4" s="5"/>
      <c r="D4" s="5"/>
      <c r="E4" s="5"/>
      <c r="F4" s="5"/>
    </row>
    <row r="5" spans="2:6" ht="3.75" customHeight="1" x14ac:dyDescent="0.3">
      <c r="B5" s="7"/>
      <c r="C5" s="7"/>
      <c r="D5" s="7"/>
      <c r="E5" s="7"/>
      <c r="F5" s="7"/>
    </row>
    <row r="7" spans="2:6" x14ac:dyDescent="0.3">
      <c r="B7" s="4" t="s">
        <v>2</v>
      </c>
      <c r="C7" s="4"/>
      <c r="E7" s="3" t="s">
        <v>3</v>
      </c>
      <c r="F7" s="3"/>
    </row>
    <row r="8" spans="2:6" x14ac:dyDescent="0.3">
      <c r="B8" s="8" t="s">
        <v>4</v>
      </c>
      <c r="C8" s="9">
        <v>3500</v>
      </c>
      <c r="E8" s="8" t="s">
        <v>5</v>
      </c>
      <c r="F8" s="10">
        <f>FV(taxa_mensal,qtd_anos*12,-aporte_usado)</f>
        <v>80086.987763967249</v>
      </c>
    </row>
    <row r="9" spans="2:6" x14ac:dyDescent="0.3">
      <c r="B9" s="8" t="s">
        <v>6</v>
      </c>
      <c r="C9" s="11">
        <v>0.3</v>
      </c>
      <c r="E9" s="8" t="s">
        <v>7</v>
      </c>
      <c r="F9" s="12">
        <f>aporte_usado*qtd_anos*12</f>
        <v>48000</v>
      </c>
    </row>
    <row r="10" spans="2:6" x14ac:dyDescent="0.3">
      <c r="B10" s="8" t="s">
        <v>8</v>
      </c>
      <c r="C10" s="12">
        <f>salario*pct_salario</f>
        <v>1050</v>
      </c>
      <c r="E10" s="8" t="s">
        <v>9</v>
      </c>
      <c r="F10" s="12">
        <f>patrimonio-total_aportado</f>
        <v>32086.987763967249</v>
      </c>
    </row>
    <row r="11" spans="2:6" x14ac:dyDescent="0.3">
      <c r="B11" s="8" t="s">
        <v>10</v>
      </c>
      <c r="C11" s="9">
        <v>400</v>
      </c>
      <c r="E11" s="8" t="s">
        <v>11</v>
      </c>
      <c r="F11" s="10">
        <f>patrimonio*yield_mensal</f>
        <v>560.60891434777079</v>
      </c>
    </row>
    <row r="12" spans="2:6" x14ac:dyDescent="0.3">
      <c r="B12" s="8" t="s">
        <v>12</v>
      </c>
      <c r="C12" s="13" t="s">
        <v>10</v>
      </c>
      <c r="E12" s="8" t="s">
        <v>13</v>
      </c>
      <c r="F12" s="14">
        <f>IFERROR(dividendo_mensal/salario,0)</f>
        <v>0.16017397552793453</v>
      </c>
    </row>
    <row r="13" spans="2:6" x14ac:dyDescent="0.3">
      <c r="B13" s="8" t="s">
        <v>14</v>
      </c>
      <c r="C13" s="10">
        <f>IF(base_aporte="Sugestão do salário",sugestao_aporte,aporte_informado)</f>
        <v>400</v>
      </c>
    </row>
    <row r="14" spans="2:6" ht="15" customHeight="1" x14ac:dyDescent="0.3">
      <c r="B14" s="8" t="s">
        <v>15</v>
      </c>
      <c r="C14" s="15">
        <v>10</v>
      </c>
      <c r="E14" s="2"/>
      <c r="F14" s="2"/>
    </row>
    <row r="15" spans="2:6" x14ac:dyDescent="0.3">
      <c r="B15" s="8" t="s">
        <v>16</v>
      </c>
      <c r="C15" s="16">
        <v>8.0000000000000002E-3</v>
      </c>
      <c r="E15" s="2"/>
      <c r="F15" s="2"/>
    </row>
    <row r="16" spans="2:6" x14ac:dyDescent="0.3">
      <c r="B16" s="8" t="s">
        <v>17</v>
      </c>
      <c r="C16" s="16">
        <v>7.0000000000000001E-3</v>
      </c>
      <c r="E16" s="2"/>
      <c r="F16" s="2"/>
    </row>
    <row r="18" spans="2:6" x14ac:dyDescent="0.3">
      <c r="B18" s="4" t="s">
        <v>18</v>
      </c>
      <c r="C18" s="4"/>
      <c r="D18" s="4"/>
      <c r="E18" s="4"/>
      <c r="F18" s="4"/>
    </row>
    <row r="19" spans="2:6" x14ac:dyDescent="0.3">
      <c r="B19" s="17" t="s">
        <v>19</v>
      </c>
      <c r="C19" s="18" t="s">
        <v>20</v>
      </c>
      <c r="D19" s="19"/>
      <c r="E19" s="18" t="s">
        <v>7</v>
      </c>
      <c r="F19" s="18" t="s">
        <v>11</v>
      </c>
    </row>
    <row r="20" spans="2:6" x14ac:dyDescent="0.3">
      <c r="B20" s="20">
        <v>2</v>
      </c>
      <c r="C20" s="12">
        <f>FV(taxa_mensal,$B20*12,-aporte_usado)</f>
        <v>10537.262044447825</v>
      </c>
      <c r="D20" s="21"/>
      <c r="E20" s="12">
        <f>aporte_usado*$B20*12</f>
        <v>9600</v>
      </c>
      <c r="F20" s="12">
        <f>C20*yield_mensal</f>
        <v>73.760834311134772</v>
      </c>
    </row>
    <row r="21" spans="2:6" x14ac:dyDescent="0.3">
      <c r="B21" s="20">
        <v>5</v>
      </c>
      <c r="C21" s="12">
        <f>FV(taxa_mensal,$B21*12,-aporte_usado)</f>
        <v>30649.546732752089</v>
      </c>
      <c r="D21" s="21"/>
      <c r="E21" s="12">
        <f>aporte_usado*$B21*12</f>
        <v>24000</v>
      </c>
      <c r="F21" s="12">
        <f>C21*yield_mensal</f>
        <v>214.54682712926464</v>
      </c>
    </row>
    <row r="22" spans="2:6" x14ac:dyDescent="0.3">
      <c r="B22" s="20">
        <v>10</v>
      </c>
      <c r="C22" s="12">
        <f>FV(taxa_mensal,$B22*12,-aporte_usado)</f>
        <v>80086.987763967249</v>
      </c>
      <c r="D22" s="21"/>
      <c r="E22" s="12">
        <f>aporte_usado*$B22*12</f>
        <v>48000</v>
      </c>
      <c r="F22" s="12">
        <f>C22*yield_mensal</f>
        <v>560.60891434777079</v>
      </c>
    </row>
    <row r="23" spans="2:6" x14ac:dyDescent="0.3">
      <c r="B23" s="20">
        <v>20</v>
      </c>
      <c r="C23" s="12">
        <f>FV(taxa_mensal,$B23*12,-aporte_usado)</f>
        <v>288452.48771005135</v>
      </c>
      <c r="D23" s="21"/>
      <c r="E23" s="12">
        <f>aporte_usado*$B23*12</f>
        <v>96000</v>
      </c>
      <c r="F23" s="12">
        <f>C23*yield_mensal</f>
        <v>2019.1674139703596</v>
      </c>
    </row>
    <row r="24" spans="2:6" x14ac:dyDescent="0.3">
      <c r="B24" s="20">
        <v>30</v>
      </c>
      <c r="C24" s="12">
        <f>FV(taxa_mensal,$B24*12,-aporte_usado)</f>
        <v>830565.29254843411</v>
      </c>
      <c r="D24" s="21"/>
      <c r="E24" s="12">
        <f>aporte_usado*$B24*12</f>
        <v>144000</v>
      </c>
      <c r="F24" s="12">
        <f>C24*yield_mensal</f>
        <v>5813.9570478390388</v>
      </c>
    </row>
    <row r="26" spans="2:6" x14ac:dyDescent="0.3">
      <c r="B26" s="4" t="s">
        <v>21</v>
      </c>
      <c r="C26" s="4"/>
      <c r="D26" s="4"/>
      <c r="E26" s="4"/>
      <c r="F26" s="4"/>
    </row>
    <row r="27" spans="2:6" x14ac:dyDescent="0.3">
      <c r="B27" s="17" t="s">
        <v>22</v>
      </c>
      <c r="C27" s="18" t="s">
        <v>10</v>
      </c>
      <c r="D27" s="19"/>
      <c r="E27" s="18" t="s">
        <v>23</v>
      </c>
      <c r="F27" s="18" t="s">
        <v>24</v>
      </c>
    </row>
    <row r="28" spans="2:6" x14ac:dyDescent="0.3">
      <c r="B28" s="8" t="s">
        <v>25</v>
      </c>
      <c r="C28" s="12">
        <f>aporte_informado</f>
        <v>400</v>
      </c>
      <c r="D28" s="21"/>
      <c r="E28" s="12">
        <f>sugestao_aporte</f>
        <v>1050</v>
      </c>
      <c r="F28" s="22">
        <f>E28-C28</f>
        <v>650</v>
      </c>
    </row>
    <row r="29" spans="2:6" x14ac:dyDescent="0.3">
      <c r="B29" s="8" t="s">
        <v>5</v>
      </c>
      <c r="C29" s="12">
        <f>FV(taxa_mensal,qtd_anos*12,-C28)</f>
        <v>80086.987763967249</v>
      </c>
      <c r="D29" s="21"/>
      <c r="E29" s="12">
        <f>FV(taxa_mensal,qtd_anos*12,-E28)</f>
        <v>210228.34288041404</v>
      </c>
      <c r="F29" s="22">
        <f>E29-C29</f>
        <v>130141.35511644679</v>
      </c>
    </row>
    <row r="30" spans="2:6" x14ac:dyDescent="0.3">
      <c r="B30" s="8" t="s">
        <v>11</v>
      </c>
      <c r="C30" s="12">
        <f>C29*yield_mensal</f>
        <v>560.60891434777079</v>
      </c>
      <c r="D30" s="21"/>
      <c r="E30" s="12">
        <f>E29*yield_mensal</f>
        <v>1471.5984001628983</v>
      </c>
      <c r="F30" s="22">
        <f>E30-C30</f>
        <v>910.98948581512752</v>
      </c>
    </row>
    <row r="32" spans="2:6" x14ac:dyDescent="0.3">
      <c r="B32" s="4" t="s">
        <v>26</v>
      </c>
      <c r="C32" s="4"/>
      <c r="D32" s="4"/>
      <c r="E32" s="4"/>
      <c r="F32" s="4"/>
    </row>
    <row r="33" spans="2:6" x14ac:dyDescent="0.3">
      <c r="B33" s="8" t="s">
        <v>27</v>
      </c>
      <c r="C33" s="13" t="s">
        <v>28</v>
      </c>
    </row>
    <row r="34" spans="2:6" x14ac:dyDescent="0.3">
      <c r="B34" s="8" t="s">
        <v>29</v>
      </c>
      <c r="C34" s="12">
        <f>aporte_usado</f>
        <v>400</v>
      </c>
    </row>
    <row r="36" spans="2:6" x14ac:dyDescent="0.3">
      <c r="B36" s="17" t="s">
        <v>30</v>
      </c>
      <c r="C36" s="18" t="s">
        <v>31</v>
      </c>
      <c r="D36" s="19"/>
      <c r="E36" s="18" t="s">
        <v>32</v>
      </c>
      <c r="F36" s="19"/>
    </row>
    <row r="37" spans="2:6" x14ac:dyDescent="0.3">
      <c r="B37" s="8" t="s">
        <v>33</v>
      </c>
      <c r="C37" s="23">
        <f t="shared" ref="C37:C42" si="0">VLOOKUP(perfil_escolhido&amp;"-"&amp;$B37,tabela_perfis,4,FALSE())</f>
        <v>0.3</v>
      </c>
      <c r="D37" s="21"/>
      <c r="E37" s="12">
        <f t="shared" ref="E37:E42" si="1">C37*aporte_usado</f>
        <v>120</v>
      </c>
    </row>
    <row r="38" spans="2:6" x14ac:dyDescent="0.3">
      <c r="B38" s="8" t="s">
        <v>34</v>
      </c>
      <c r="C38" s="23">
        <f t="shared" si="0"/>
        <v>0.3</v>
      </c>
      <c r="D38" s="21"/>
      <c r="E38" s="12">
        <f t="shared" si="1"/>
        <v>120</v>
      </c>
    </row>
    <row r="39" spans="2:6" x14ac:dyDescent="0.3">
      <c r="B39" s="8" t="s">
        <v>35</v>
      </c>
      <c r="C39" s="23">
        <f t="shared" si="0"/>
        <v>0.15</v>
      </c>
      <c r="D39" s="21"/>
      <c r="E39" s="12">
        <f t="shared" si="1"/>
        <v>60</v>
      </c>
    </row>
    <row r="40" spans="2:6" x14ac:dyDescent="0.3">
      <c r="B40" s="8" t="s">
        <v>36</v>
      </c>
      <c r="C40" s="23">
        <f t="shared" si="0"/>
        <v>0.1</v>
      </c>
      <c r="D40" s="21"/>
      <c r="E40" s="12">
        <f t="shared" si="1"/>
        <v>40</v>
      </c>
    </row>
    <row r="41" spans="2:6" x14ac:dyDescent="0.3">
      <c r="B41" s="8" t="s">
        <v>37</v>
      </c>
      <c r="C41" s="23">
        <f t="shared" si="0"/>
        <v>0.1</v>
      </c>
      <c r="D41" s="21"/>
      <c r="E41" s="12">
        <f t="shared" si="1"/>
        <v>40</v>
      </c>
    </row>
    <row r="42" spans="2:6" x14ac:dyDescent="0.3">
      <c r="B42" s="8" t="s">
        <v>38</v>
      </c>
      <c r="C42" s="23">
        <f t="shared" si="0"/>
        <v>0.05</v>
      </c>
      <c r="D42" s="21"/>
      <c r="E42" s="12">
        <f t="shared" si="1"/>
        <v>20</v>
      </c>
    </row>
    <row r="43" spans="2:6" x14ac:dyDescent="0.3">
      <c r="B43" s="24" t="s">
        <v>39</v>
      </c>
      <c r="C43" s="25">
        <f>SUM(C37:C42)</f>
        <v>1</v>
      </c>
      <c r="D43" s="21"/>
      <c r="E43" s="10">
        <f>SUM(E37:E42)</f>
        <v>400</v>
      </c>
      <c r="F43" s="26" t="str">
        <f>IF(ROUND(C43,4)=1,"OK: soma 100%","Revisar perfil")</f>
        <v>OK: soma 100%</v>
      </c>
    </row>
    <row r="45" spans="2:6" ht="24" customHeight="1" x14ac:dyDescent="0.3">
      <c r="B45" s="1"/>
      <c r="C45" s="1"/>
      <c r="D45" s="1"/>
      <c r="E45" s="1"/>
      <c r="F45" s="1"/>
    </row>
  </sheetData>
  <mergeCells count="9">
    <mergeCell ref="B18:F18"/>
    <mergeCell ref="B26:F26"/>
    <mergeCell ref="B32:F32"/>
    <mergeCell ref="B45:F45"/>
    <mergeCell ref="B2:F3"/>
    <mergeCell ref="B4:F4"/>
    <mergeCell ref="B7:C7"/>
    <mergeCell ref="E7:F7"/>
    <mergeCell ref="E14:F16"/>
  </mergeCells>
  <dataValidations count="6">
    <dataValidation type="list" showErrorMessage="1" errorTitle="Perfil" error="Escolha um perfil da lista." sqref="C33" xr:uid="{00000000-0002-0000-0000-000000000000}">
      <formula1>lista_perfis</formula1>
      <formula2>0</formula2>
    </dataValidation>
    <dataValidation type="list" showErrorMessage="1" errorTitle="Base" error="Escolha uma opção da lista." sqref="C12" xr:uid="{00000000-0002-0000-0000-000001000000}">
      <formula1>lista_base</formula1>
      <formula2>0</formula2>
    </dataValidation>
    <dataValidation type="decimal" operator="greaterThanOrEqual" showErrorMessage="1" error="Informe um valor maior ou igual a zero." sqref="C8 C11" xr:uid="{00000000-0002-0000-0000-000002000000}">
      <formula1>0</formula1>
      <formula2>0</formula2>
    </dataValidation>
    <dataValidation type="decimal" showErrorMessage="1" error="Informe entre 0% e 100%." sqref="C9" xr:uid="{00000000-0002-0000-0000-000003000000}">
      <formula1>0</formula1>
      <formula2>1</formula2>
    </dataValidation>
    <dataValidation type="whole" showErrorMessage="1" error="Informe de 1 a 50 anos." sqref="C14" xr:uid="{00000000-0002-0000-0000-000004000000}">
      <formula1>1</formula1>
      <formula2>50</formula2>
    </dataValidation>
    <dataValidation type="decimal" showErrorMessage="1" error="Informe entre 0% e 10%." sqref="C15:C16" xr:uid="{00000000-0002-0000-0000-000005000000}">
      <formula1>0</formula1>
      <formula2>0.1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"/>
  <sheetViews>
    <sheetView showGridLines="0" zoomScaleNormal="100" workbookViewId="0">
      <selection activeCell="A2" sqref="A2"/>
    </sheetView>
  </sheetViews>
  <sheetFormatPr defaultColWidth="8.6640625" defaultRowHeight="14.4" x14ac:dyDescent="0.3"/>
  <cols>
    <col min="1" max="1" width="24" customWidth="1"/>
    <col min="2" max="2" width="16" customWidth="1"/>
    <col min="3" max="3" width="20" customWidth="1"/>
    <col min="4" max="4" width="8" customWidth="1"/>
    <col min="5" max="5" width="3" customWidth="1"/>
    <col min="6" max="6" width="20" customWidth="1"/>
    <col min="7" max="7" width="78" customWidth="1"/>
    <col min="8" max="8" width="3" customWidth="1"/>
    <col min="9" max="9" width="16" customWidth="1"/>
    <col min="10" max="10" width="10" customWidth="1"/>
    <col min="11" max="11" width="12" customWidth="1"/>
    <col min="12" max="12" width="3" customWidth="1"/>
    <col min="13" max="13" width="22" customWidth="1"/>
  </cols>
  <sheetData>
    <row r="1" spans="1:13" ht="17.399999999999999" x14ac:dyDescent="0.3">
      <c r="A1" s="27" t="s">
        <v>40</v>
      </c>
    </row>
    <row r="2" spans="1:13" x14ac:dyDescent="0.3">
      <c r="A2" s="28"/>
    </row>
    <row r="4" spans="1:13" x14ac:dyDescent="0.3">
      <c r="A4" s="29" t="s">
        <v>41</v>
      </c>
      <c r="B4" s="29" t="s">
        <v>42</v>
      </c>
      <c r="C4" s="29" t="s">
        <v>43</v>
      </c>
      <c r="D4" s="29" t="s">
        <v>44</v>
      </c>
      <c r="F4" s="29" t="s">
        <v>43</v>
      </c>
      <c r="G4" s="29" t="s">
        <v>45</v>
      </c>
      <c r="I4" s="29" t="s">
        <v>42</v>
      </c>
      <c r="J4" s="29" t="s">
        <v>46</v>
      </c>
      <c r="K4" s="29" t="s">
        <v>47</v>
      </c>
      <c r="M4" s="29" t="s">
        <v>48</v>
      </c>
    </row>
    <row r="5" spans="1:13" x14ac:dyDescent="0.3">
      <c r="A5" s="30" t="str">
        <f t="shared" ref="A5:A22" si="0">B5&amp;"-"&amp;C5</f>
        <v>Conservador-PAPEL</v>
      </c>
      <c r="B5" s="31" t="s">
        <v>49</v>
      </c>
      <c r="C5" s="31" t="s">
        <v>33</v>
      </c>
      <c r="D5" s="32">
        <v>0.35</v>
      </c>
      <c r="F5" s="33" t="s">
        <v>33</v>
      </c>
      <c r="G5" s="31" t="s">
        <v>50</v>
      </c>
      <c r="I5" s="33" t="s">
        <v>49</v>
      </c>
      <c r="J5" s="34">
        <f>SUMIF($B$5:$B$22,I5,$D$5:$D$22)</f>
        <v>1</v>
      </c>
      <c r="K5" s="30" t="str">
        <f>IF(ROUND(J5,4)=1,"OK","Revisar")</f>
        <v>OK</v>
      </c>
      <c r="M5" s="31" t="s">
        <v>10</v>
      </c>
    </row>
    <row r="6" spans="1:13" x14ac:dyDescent="0.3">
      <c r="A6" s="30" t="str">
        <f t="shared" si="0"/>
        <v>Conservador-TIJOLO</v>
      </c>
      <c r="B6" s="31" t="s">
        <v>49</v>
      </c>
      <c r="C6" s="31" t="s">
        <v>34</v>
      </c>
      <c r="D6" s="32">
        <v>0.4</v>
      </c>
      <c r="F6" s="33" t="s">
        <v>34</v>
      </c>
      <c r="G6" s="31" t="s">
        <v>51</v>
      </c>
      <c r="I6" s="33" t="s">
        <v>28</v>
      </c>
      <c r="J6" s="34">
        <f>SUMIF($B$5:$B$22,I6,$D$5:$D$22)</f>
        <v>1</v>
      </c>
      <c r="K6" s="30" t="str">
        <f>IF(ROUND(J6,4)=1,"OK","Revisar")</f>
        <v>OK</v>
      </c>
      <c r="M6" s="31" t="s">
        <v>23</v>
      </c>
    </row>
    <row r="7" spans="1:13" x14ac:dyDescent="0.3">
      <c r="A7" s="30" t="str">
        <f t="shared" si="0"/>
        <v>Conservador-HÍBRIDOS</v>
      </c>
      <c r="B7" s="31" t="s">
        <v>49</v>
      </c>
      <c r="C7" s="31" t="s">
        <v>35</v>
      </c>
      <c r="D7" s="32">
        <v>0.1</v>
      </c>
      <c r="F7" s="33" t="s">
        <v>35</v>
      </c>
      <c r="G7" s="31" t="s">
        <v>52</v>
      </c>
      <c r="I7" s="33" t="s">
        <v>53</v>
      </c>
      <c r="J7" s="34">
        <f>SUMIF($B$5:$B$22,I7,$D$5:$D$22)</f>
        <v>1</v>
      </c>
      <c r="K7" s="30" t="str">
        <f>IF(ROUND(J7,4)=1,"OK","Revisar")</f>
        <v>OK</v>
      </c>
    </row>
    <row r="8" spans="1:13" x14ac:dyDescent="0.3">
      <c r="A8" s="30" t="str">
        <f t="shared" si="0"/>
        <v>Conservador-FOFs</v>
      </c>
      <c r="B8" s="31" t="s">
        <v>49</v>
      </c>
      <c r="C8" s="31" t="s">
        <v>36</v>
      </c>
      <c r="D8" s="32">
        <v>0.1</v>
      </c>
      <c r="F8" s="33" t="s">
        <v>36</v>
      </c>
      <c r="G8" s="31" t="s">
        <v>54</v>
      </c>
    </row>
    <row r="9" spans="1:13" x14ac:dyDescent="0.3">
      <c r="A9" s="30" t="str">
        <f t="shared" si="0"/>
        <v>Conservador-DESENVOLVIMENTO</v>
      </c>
      <c r="B9" s="31" t="s">
        <v>49</v>
      </c>
      <c r="C9" s="31" t="s">
        <v>37</v>
      </c>
      <c r="D9" s="32">
        <v>0</v>
      </c>
      <c r="F9" s="33" t="s">
        <v>37</v>
      </c>
      <c r="G9" s="31" t="s">
        <v>55</v>
      </c>
    </row>
    <row r="10" spans="1:13" x14ac:dyDescent="0.3">
      <c r="A10" s="30" t="str">
        <f t="shared" si="0"/>
        <v>Conservador-HOTELARIAS</v>
      </c>
      <c r="B10" s="31" t="s">
        <v>49</v>
      </c>
      <c r="C10" s="31" t="s">
        <v>38</v>
      </c>
      <c r="D10" s="32">
        <v>0.05</v>
      </c>
      <c r="F10" s="33" t="s">
        <v>38</v>
      </c>
      <c r="G10" s="31" t="s">
        <v>56</v>
      </c>
    </row>
    <row r="11" spans="1:13" x14ac:dyDescent="0.3">
      <c r="A11" s="30" t="str">
        <f t="shared" si="0"/>
        <v>Moderado-PAPEL</v>
      </c>
      <c r="B11" s="31" t="s">
        <v>28</v>
      </c>
      <c r="C11" s="31" t="s">
        <v>33</v>
      </c>
      <c r="D11" s="32">
        <v>0.3</v>
      </c>
    </row>
    <row r="12" spans="1:13" x14ac:dyDescent="0.3">
      <c r="A12" s="30" t="str">
        <f t="shared" si="0"/>
        <v>Moderado-TIJOLO</v>
      </c>
      <c r="B12" s="31" t="s">
        <v>28</v>
      </c>
      <c r="C12" s="31" t="s">
        <v>34</v>
      </c>
      <c r="D12" s="32">
        <v>0.3</v>
      </c>
    </row>
    <row r="13" spans="1:13" x14ac:dyDescent="0.3">
      <c r="A13" s="30" t="str">
        <f t="shared" si="0"/>
        <v>Moderado-HÍBRIDOS</v>
      </c>
      <c r="B13" s="31" t="s">
        <v>28</v>
      </c>
      <c r="C13" s="31" t="s">
        <v>35</v>
      </c>
      <c r="D13" s="32">
        <v>0.15</v>
      </c>
    </row>
    <row r="14" spans="1:13" x14ac:dyDescent="0.3">
      <c r="A14" s="30" t="str">
        <f t="shared" si="0"/>
        <v>Moderado-FOFs</v>
      </c>
      <c r="B14" s="31" t="s">
        <v>28</v>
      </c>
      <c r="C14" s="31" t="s">
        <v>36</v>
      </c>
      <c r="D14" s="32">
        <v>0.1</v>
      </c>
    </row>
    <row r="15" spans="1:13" x14ac:dyDescent="0.3">
      <c r="A15" s="30" t="str">
        <f t="shared" si="0"/>
        <v>Moderado-DESENVOLVIMENTO</v>
      </c>
      <c r="B15" s="31" t="s">
        <v>28</v>
      </c>
      <c r="C15" s="31" t="s">
        <v>37</v>
      </c>
      <c r="D15" s="32">
        <v>0.1</v>
      </c>
    </row>
    <row r="16" spans="1:13" x14ac:dyDescent="0.3">
      <c r="A16" s="30" t="str">
        <f t="shared" si="0"/>
        <v>Moderado-HOTELARIAS</v>
      </c>
      <c r="B16" s="31" t="s">
        <v>28</v>
      </c>
      <c r="C16" s="31" t="s">
        <v>38</v>
      </c>
      <c r="D16" s="32">
        <v>0.05</v>
      </c>
    </row>
    <row r="17" spans="1:4" x14ac:dyDescent="0.3">
      <c r="A17" s="30" t="str">
        <f t="shared" si="0"/>
        <v>Arrojado-PAPEL</v>
      </c>
      <c r="B17" s="31" t="s">
        <v>53</v>
      </c>
      <c r="C17" s="31" t="s">
        <v>33</v>
      </c>
      <c r="D17" s="32">
        <v>0.25</v>
      </c>
    </row>
    <row r="18" spans="1:4" x14ac:dyDescent="0.3">
      <c r="A18" s="30" t="str">
        <f t="shared" si="0"/>
        <v>Arrojado-TIJOLO</v>
      </c>
      <c r="B18" s="31" t="s">
        <v>53</v>
      </c>
      <c r="C18" s="31" t="s">
        <v>34</v>
      </c>
      <c r="D18" s="32">
        <v>0.2</v>
      </c>
    </row>
    <row r="19" spans="1:4" x14ac:dyDescent="0.3">
      <c r="A19" s="30" t="str">
        <f t="shared" si="0"/>
        <v>Arrojado-HÍBRIDOS</v>
      </c>
      <c r="B19" s="31" t="s">
        <v>53</v>
      </c>
      <c r="C19" s="31" t="s">
        <v>35</v>
      </c>
      <c r="D19" s="32">
        <v>0.1</v>
      </c>
    </row>
    <row r="20" spans="1:4" x14ac:dyDescent="0.3">
      <c r="A20" s="30" t="str">
        <f t="shared" si="0"/>
        <v>Arrojado-FOFs</v>
      </c>
      <c r="B20" s="31" t="s">
        <v>53</v>
      </c>
      <c r="C20" s="31" t="s">
        <v>36</v>
      </c>
      <c r="D20" s="32">
        <v>0.05</v>
      </c>
    </row>
    <row r="21" spans="1:4" x14ac:dyDescent="0.3">
      <c r="A21" s="30" t="str">
        <f t="shared" si="0"/>
        <v>Arrojado-DESENVOLVIMENTO</v>
      </c>
      <c r="B21" s="31" t="s">
        <v>53</v>
      </c>
      <c r="C21" s="31" t="s">
        <v>37</v>
      </c>
      <c r="D21" s="32">
        <v>0.25</v>
      </c>
    </row>
    <row r="22" spans="1:4" x14ac:dyDescent="0.3">
      <c r="A22" s="30" t="str">
        <f t="shared" si="0"/>
        <v>Arrojado-HOTELARIAS</v>
      </c>
      <c r="B22" s="31" t="s">
        <v>53</v>
      </c>
      <c r="C22" s="31" t="s">
        <v>38</v>
      </c>
      <c r="D22" s="32">
        <v>0.15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17</vt:i4>
      </vt:variant>
    </vt:vector>
  </HeadingPairs>
  <TitlesOfParts>
    <vt:vector size="19" baseType="lpstr">
      <vt:lpstr>SIMULADOR</vt:lpstr>
      <vt:lpstr>APOIO</vt:lpstr>
      <vt:lpstr>aporte_informado</vt:lpstr>
      <vt:lpstr>aporte_usado</vt:lpstr>
      <vt:lpstr>base_aporte</vt:lpstr>
      <vt:lpstr>dividendo_mensal</vt:lpstr>
      <vt:lpstr>lista_base</vt:lpstr>
      <vt:lpstr>lista_perfis</vt:lpstr>
      <vt:lpstr>patrimonio</vt:lpstr>
      <vt:lpstr>pct_salario</vt:lpstr>
      <vt:lpstr>perfil_escolhido</vt:lpstr>
      <vt:lpstr>qtd_anos</vt:lpstr>
      <vt:lpstr>rendimento_acumulado</vt:lpstr>
      <vt:lpstr>salario</vt:lpstr>
      <vt:lpstr>sugestao_aporte</vt:lpstr>
      <vt:lpstr>tabela_perfis</vt:lpstr>
      <vt:lpstr>taxa_mensal</vt:lpstr>
      <vt:lpstr>total_aportado</vt:lpstr>
      <vt:lpstr>yield_mensal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Jonathan G Moreira</cp:lastModifiedBy>
  <cp:revision>1</cp:revision>
  <dcterms:created xsi:type="dcterms:W3CDTF">2026-10-18T19:25:20Z</dcterms:created>
  <dcterms:modified xsi:type="dcterms:W3CDTF">2026-10-18T19:31:04Z</dcterms:modified>
  <dc:language>en-US</dc:language>
</cp:coreProperties>
</file>